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roylan Grimaldo\Downloads\"/>
    </mc:Choice>
  </mc:AlternateContent>
  <xr:revisionPtr revIDLastSave="0" documentId="11_998FF45CBF347B9C5265282BE79479A8189FD0F5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esumen" sheetId="1" r:id="rId1"/>
    <sheet name="Plan de acción" sheetId="2" r:id="rId2"/>
  </sheets>
  <definedNames>
    <definedName name="_xlnm._FilterDatabase" localSheetId="1" hidden="1">'Plan de acción'!$A$1:$J$18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F6" i="1"/>
  <c r="E6" i="1"/>
  <c r="D6" i="1"/>
  <c r="C6" i="1"/>
  <c r="B6" i="1"/>
  <c r="F5" i="1"/>
  <c r="F8" i="1" s="1"/>
  <c r="E5" i="1"/>
  <c r="E8" i="1" s="1"/>
  <c r="D5" i="1"/>
  <c r="D8" i="1" s="1"/>
  <c r="C5" i="1"/>
  <c r="C8" i="1" s="1"/>
  <c r="B5" i="1"/>
  <c r="B8" i="1" s="1"/>
</calcChain>
</file>

<file path=xl/sharedStrings.xml><?xml version="1.0" encoding="utf-8"?>
<sst xmlns="http://schemas.openxmlformats.org/spreadsheetml/2006/main" count="160" uniqueCount="99">
  <si>
    <t>Vulnerabilidades — App móvil UTSC (y API que consume)</t>
  </si>
  <si>
    <t>Cómo usar: actualiza la columna Estado en 'Plan de acción'; este resumen se recalcula solo.</t>
  </si>
  <si>
    <t>Severidad</t>
  </si>
  <si>
    <t>Total</t>
  </si>
  <si>
    <t>Pendiente</t>
  </si>
  <si>
    <t>En proceso</t>
  </si>
  <si>
    <t>Hecho</t>
  </si>
  <si>
    <t>Descartado</t>
  </si>
  <si>
    <t>Alta</t>
  </si>
  <si>
    <t>Media</t>
  </si>
  <si>
    <t>Baja</t>
  </si>
  <si>
    <t>Esfuerzo estimado: Bajo = menos de 1 hora · Medio = algunas horas · Alto = trabajo de varias partes (nuevo endpoint + app).</t>
  </si>
  <si>
    <t>Basado en la revisión del código de app.py y de la app Flutter; biometric_service.dart y login_screen.dart aún no se revisaron.</t>
  </si>
  <si>
    <t>No.</t>
  </si>
  <si>
    <t>Vulnerabilidad</t>
  </si>
  <si>
    <t>Componente</t>
  </si>
  <si>
    <t>Riesgo</t>
  </si>
  <si>
    <t>Ubicación</t>
  </si>
  <si>
    <t>Acción correctiva</t>
  </si>
  <si>
    <t>Esfuerzo</t>
  </si>
  <si>
    <t>Estado</t>
  </si>
  <si>
    <t>Notas</t>
  </si>
  <si>
    <t>Token JWT guardado en texto plano</t>
  </si>
  <si>
    <t>App móvil</t>
  </si>
  <si>
    <t>Con root o un respaldo de adb se roba la sesión (incluida la de un administrador).</t>
  </si>
  <si>
    <t>lib/services/api_service.dart (SharedPreferences: jwt_token, es_admin)</t>
  </si>
  <si>
    <t>Migrar a flutter_secure_storage (Keystore/Keychain). Guardar el token ahí, leerlo en getToken() y borrarlo en clearToken(). Limpiar el valor antiguo de SharedPreferences al migrar.</t>
  </si>
  <si>
    <t>Bajo</t>
  </si>
  <si>
    <t>Login con huella: posible almacenamiento de credenciales (por verificar)</t>
  </si>
  <si>
    <t>Si la matrícula/contraseña se guardan en SharedPreferences para la huella, quedan expuestas.</t>
  </si>
  <si>
    <t>lib/services/biometric_service.dart, lib/screens/login_screen.dart</t>
  </si>
  <si>
    <t>Revisar el código. Si guarda la contraseña: moverla al almacén seguro (o guardar solo un token) y exigir autenticación biométrica para leerla.</t>
  </si>
  <si>
    <t>print() con datos del login en builds de release</t>
  </si>
  <si>
    <t>URL y respuesta del login quedan visibles en logcat.</t>
  </si>
  <si>
    <t>lib/services/api_service.dart (login)</t>
  </si>
  <si>
    <t>Eliminar los print() o envolverlos en if (kDebugMode). Revisar el resto de la app con una búsqueda de 'print('.</t>
  </si>
  <si>
    <t>Bloqueo de cuentas ajenas y sin límite por IP</t>
  </si>
  <si>
    <t>API / Servidor</t>
  </si>
  <si>
    <t>Cualquiera puede dejar sin acceso a una matrícula (o a un admin) con 3 intentos fallidos; no hay captcha ni rate limit en /api/login.</t>
  </si>
  <si>
    <t>app.py: /api/login, /login</t>
  </si>
  <si>
    <t>Agregar Flask-Limiter (por IP y por matrícula), hCaptcha tras N fallos en la API, bloqueo progresivo y notificación por correo al titular. Mensajes de error genéricos.</t>
  </si>
  <si>
    <t>Medio</t>
  </si>
  <si>
    <t>Sin protección CSRF en el panel web</t>
  </si>
  <si>
    <t>Web</t>
  </si>
  <si>
    <t>Una página maliciosa podría aprobar o rechazar solicitudes desde el navegador de un administrador.</t>
  </si>
  <si>
    <t>app.py: JWT_COOKIE_CSRF_PROTECT = False; /admin/actualizar_estatus</t>
  </si>
  <si>
    <t>Activar JWT_COOKIE_CSRF_PROTECT y enviar el token CSRF en los formularios; cookies con SameSite=Lax/Strict, Secure y HttpOnly. La API móvil (cabecera Authorization) no se ve afectada.</t>
  </si>
  <si>
    <t>Respaldo de Android habilitado</t>
  </si>
  <si>
    <t>Los datos de la app pueden extraerse con adb backup.</t>
  </si>
  <si>
    <t>android/app/src/main/AndroidManifest.xml</t>
  </si>
  <si>
    <t>Agregar android:allowBackup="false" y reglas dataExtractionRules/fullBackupContent que excluyan el almacenamiento de la app.</t>
  </si>
  <si>
    <t>APK sin ofuscación</t>
  </si>
  <si>
    <t>Facilita la ingeniería inversa y encontrar endpoints.</t>
  </si>
  <si>
    <t>Build de release / android/app/build.gradle</t>
  </si>
  <si>
    <t>Compilar con flutter build apk --release --obfuscate --split-debug-info=&lt;carpeta&gt; y activar minify/R8. Guardar los símbolos de depuración.</t>
  </si>
  <si>
    <t>Enumeración de usuarios y registro sin captcha</t>
  </si>
  <si>
    <t>Los mensajes 'matrícula/correo ya registrado' revelan cuentas existentes; se pueden crear cuentas en masa.</t>
  </si>
  <si>
    <t>app.py: /api/registro, /registro</t>
  </si>
  <si>
    <t>Respuestas genéricas, hCaptcha o rate limit en el registro y verificación del correo institucional con enlace de confirmación.</t>
  </si>
  <si>
    <t>Sesión sin revocación ni renovación</t>
  </si>
  <si>
    <t>Un token robado sirve hasta que expire (1 h) aunque el usuario cierre sesión.</t>
  </si>
  <si>
    <t>app.py: JWT config; no existe /api/logout</t>
  </si>
  <si>
    <t>Token de acceso corto (15 min) + refresh token, lista de tokens revocados (jti) en MongoDB y endpoint /api/logout que lo use.</t>
  </si>
  <si>
    <t>Validación débil de archivos subidos</t>
  </si>
  <si>
    <t>Solo se valida la extensión y no hay límite de tamaño: archivos falsos o enormes.</t>
  </si>
  <si>
    <t>app.py: allowed_file, subir_a_cloudinary</t>
  </si>
  <si>
    <t>Definir MAX_CONTENT_LENGTH, validar el tipo real (firma/magic bytes) y limitar formatos permitidos también en Cloudinary.</t>
  </si>
  <si>
    <t>Restablecer contraseña: sin política y enlace reutilizable</t>
  </si>
  <si>
    <t>Se puede fijar una contraseña débil y reutilizar el enlace durante 1 hora.</t>
  </si>
  <si>
    <t>app.py: /restablecer_contrasena/&lt;token&gt;</t>
  </si>
  <si>
    <t>Aplicar la misma política de contraseña que en el registro, invalidar el enlace tras usarlo (incluir parte del hash de la contraseña en el token) y cerrar sesiones activas.</t>
  </si>
  <si>
    <t>Posibles secretos expuestos en el repositorio</t>
  </si>
  <si>
    <t>Repositorio</t>
  </si>
  <si>
    <t>Si .env se subió alguna vez a GitHub, las claves quedan comprometidas.</t>
  </si>
  <si>
    <t>.gitignore / historial de git</t>
  </si>
  <si>
    <t>Confirmar que .env está ignorado, buscar en el historial (git log --all -- .env) y, si apareció, rotar SECRET_KEY, JWT_SECRET_KEY, Mongo, SendGrid y Cloudinary.</t>
  </si>
  <si>
    <t>Envío de inscripción móvil simulado y validación solo en cliente</t>
  </si>
  <si>
    <t>App móvil / API</t>
  </si>
  <si>
    <t>La app no envía nada al servidor y no existe endpoint móvil; al crearlo hay que replicar las validaciones (edad, CURP, archivos).</t>
  </si>
  <si>
    <t>lib/screens/inscripcion_screen.dart (_enviar); app.py</t>
  </si>
  <si>
    <t>Crear /api/inscripcion (y reinscripción) con las mismas validaciones del servidor web y conectar la app.</t>
  </si>
  <si>
    <t>Alto</t>
  </si>
  <si>
    <t>Sin certificate pinning</t>
  </si>
  <si>
    <t>Un certificado propio instalado en el teléfono permite interceptar el tráfico.</t>
  </si>
  <si>
    <t>lib/services/api_service.dart</t>
  </si>
  <si>
    <t>Evaluar pinning de la clave pública. Riesgo operativo: renovaciones de certificado de Render.</t>
  </si>
  <si>
    <t>/api/perfil devuelve demasiados campos</t>
  </si>
  <si>
    <t>Expone intentos_fallidos, es_admin y otros campos internos.</t>
  </si>
  <si>
    <t>app.py: /api/perfil</t>
  </si>
  <si>
    <t>Devolver solo una lista blanca de campos (usuario, matrícula, correo).</t>
  </si>
  <si>
    <t>Enlace de descarga de reportes reutilizable</t>
  </si>
  <si>
    <t>El enlace de 10 min se puede usar varias veces y queda en el historial del navegador.</t>
  </si>
  <si>
    <t>app.py: /descargar_reporte/&lt;token&gt;</t>
  </si>
  <si>
    <t>Hacerlo de un solo uso (guardar el jti en MongoDB) o reducir su vigencia.</t>
  </si>
  <si>
    <t>CURP enviada a un servicio externo</t>
  </si>
  <si>
    <t>API / Privacidad</t>
  </si>
  <si>
    <t>Un dato personal sale a consultacurp.com.mx.</t>
  </si>
  <si>
    <t>app.py: /api/validar_curp</t>
  </si>
  <si>
    <t>Agregar aviso de privacidad/consentimiento, no registrar la CURP en logs y evaluar una alternativa o un convenio.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</si>
</sst>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1A5F5C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9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A5F5C"/>
        <bgColor rgb="FF0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6">
    <dxf>
      <fill>
        <patternFill>
          <bgColor rgb="FFD9D9D9"/>
        </patternFill>
      </fill>
    </dxf>
    <dxf>
      <fill>
        <patternFill>
          <bgColor rgb="FFDDEBF7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5F5C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Normal="100" workbookViewId="0"/>
  </sheetViews>
  <sheetFormatPr baseColWidth="10" defaultColWidth="8.6640625" defaultRowHeight="14.4" x14ac:dyDescent="0.3"/>
  <cols>
    <col min="1" max="1" width="18" customWidth="1"/>
    <col min="2" max="6" width="13" customWidth="1"/>
  </cols>
  <sheetData>
    <row r="1" spans="1:6" ht="16.8" x14ac:dyDescent="0.3">
      <c r="A1" s="1" t="s">
        <v>0</v>
      </c>
    </row>
    <row r="2" spans="1:6" x14ac:dyDescent="0.3">
      <c r="A2" s="2" t="s">
        <v>1</v>
      </c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">
      <c r="A5" s="4" t="s">
        <v>8</v>
      </c>
      <c r="B5" s="5">
        <f>COUNTIF('Plan de acción'!$D$2:$D$18,A5)</f>
        <v>5</v>
      </c>
      <c r="C5" s="5">
        <f>COUNTIFS('Plan de acción'!$D$2:$D$18,$A5,'Plan de acción'!$I$2:$I$18,"Pendiente")</f>
        <v>5</v>
      </c>
      <c r="D5" s="5">
        <f>COUNTIFS('Plan de acción'!$D$2:$D$18,$A5,'Plan de acción'!$I$2:$I$18,"En proceso")</f>
        <v>0</v>
      </c>
      <c r="E5" s="5">
        <f>COUNTIFS('Plan de acción'!$D$2:$D$18,$A5,'Plan de acción'!$I$2:$I$18,"Hecho")</f>
        <v>0</v>
      </c>
      <c r="F5" s="5">
        <f>COUNTIFS('Plan de acción'!$D$2:$D$18,$A5,'Plan de acción'!$I$2:$I$18,"Descartado")</f>
        <v>0</v>
      </c>
    </row>
    <row r="6" spans="1:6" x14ac:dyDescent="0.3">
      <c r="A6" s="4" t="s">
        <v>9</v>
      </c>
      <c r="B6" s="5">
        <f>COUNTIF('Plan de acción'!$D$2:$D$18,A6)</f>
        <v>8</v>
      </c>
      <c r="C6" s="5">
        <f>COUNTIFS('Plan de acción'!$D$2:$D$18,$A6,'Plan de acción'!$I$2:$I$18,"Pendiente")</f>
        <v>8</v>
      </c>
      <c r="D6" s="5">
        <f>COUNTIFS('Plan de acción'!$D$2:$D$18,$A6,'Plan de acción'!$I$2:$I$18,"En proceso")</f>
        <v>0</v>
      </c>
      <c r="E6" s="5">
        <f>COUNTIFS('Plan de acción'!$D$2:$D$18,$A6,'Plan de acción'!$I$2:$I$18,"Hecho")</f>
        <v>0</v>
      </c>
      <c r="F6" s="5">
        <f>COUNTIFS('Plan de acción'!$D$2:$D$18,$A6,'Plan de acción'!$I$2:$I$18,"Descartado")</f>
        <v>0</v>
      </c>
    </row>
    <row r="7" spans="1:6" x14ac:dyDescent="0.3">
      <c r="A7" s="4" t="s">
        <v>10</v>
      </c>
      <c r="B7" s="5">
        <f>COUNTIF('Plan de acción'!$D$2:$D$18,A7)</f>
        <v>4</v>
      </c>
      <c r="C7" s="5">
        <f>COUNTIFS('Plan de acción'!$D$2:$D$18,$A7,'Plan de acción'!$I$2:$I$18,"Pendiente")</f>
        <v>4</v>
      </c>
      <c r="D7" s="5">
        <f>COUNTIFS('Plan de acción'!$D$2:$D$18,$A7,'Plan de acción'!$I$2:$I$18,"En proceso")</f>
        <v>0</v>
      </c>
      <c r="E7" s="5">
        <f>COUNTIFS('Plan de acción'!$D$2:$D$18,$A7,'Plan de acción'!$I$2:$I$18,"Hecho")</f>
        <v>0</v>
      </c>
      <c r="F7" s="5">
        <f>COUNTIFS('Plan de acción'!$D$2:$D$18,$A7,'Plan de acción'!$I$2:$I$18,"Descartado")</f>
        <v>0</v>
      </c>
    </row>
    <row r="8" spans="1:6" x14ac:dyDescent="0.3">
      <c r="A8" s="6" t="s">
        <v>3</v>
      </c>
      <c r="B8" s="7">
        <f>SUM(B5:B7)</f>
        <v>17</v>
      </c>
      <c r="C8" s="7">
        <f>SUM(C5:C7)</f>
        <v>17</v>
      </c>
      <c r="D8" s="7">
        <f>SUM(D5:D7)</f>
        <v>0</v>
      </c>
      <c r="E8" s="7">
        <f>SUM(E5:E7)</f>
        <v>0</v>
      </c>
      <c r="F8" s="7">
        <f>SUM(F5:F7)</f>
        <v>0</v>
      </c>
    </row>
    <row r="10" spans="1:6" x14ac:dyDescent="0.3">
      <c r="A10" s="8" t="s">
        <v>11</v>
      </c>
    </row>
    <row r="11" spans="1:6" x14ac:dyDescent="0.3">
      <c r="A11" s="8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6" customWidth="1"/>
    <col min="2" max="2" width="34" customWidth="1"/>
    <col min="3" max="3" width="16" customWidth="1"/>
    <col min="4" max="4" width="11" customWidth="1"/>
    <col min="5" max="5" width="44" customWidth="1"/>
    <col min="6" max="6" width="38" customWidth="1"/>
    <col min="7" max="7" width="60" customWidth="1"/>
    <col min="8" max="8" width="10" customWidth="1"/>
    <col min="9" max="9" width="13" customWidth="1"/>
    <col min="10" max="10" width="28" customWidth="1"/>
  </cols>
  <sheetData>
    <row r="1" spans="1:10" ht="27.75" customHeight="1" x14ac:dyDescent="0.3">
      <c r="A1" s="9" t="s">
        <v>13</v>
      </c>
      <c r="B1" s="9" t="s">
        <v>14</v>
      </c>
      <c r="C1" s="9" t="s">
        <v>15</v>
      </c>
      <c r="D1" s="9" t="s">
        <v>2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</row>
    <row r="2" spans="1:10" ht="39.6" x14ac:dyDescent="0.3">
      <c r="A2" s="10">
        <v>1</v>
      </c>
      <c r="B2" s="11" t="s">
        <v>22</v>
      </c>
      <c r="C2" s="10" t="s">
        <v>23</v>
      </c>
      <c r="D2" s="10" t="s">
        <v>8</v>
      </c>
      <c r="E2" s="11" t="s">
        <v>24</v>
      </c>
      <c r="F2" s="11" t="s">
        <v>25</v>
      </c>
      <c r="G2" s="11" t="s">
        <v>26</v>
      </c>
      <c r="H2" s="10" t="s">
        <v>27</v>
      </c>
      <c r="I2" s="10" t="s">
        <v>4</v>
      </c>
      <c r="J2" s="11"/>
    </row>
    <row r="3" spans="1:10" ht="39.6" x14ac:dyDescent="0.3">
      <c r="A3" s="10">
        <v>2</v>
      </c>
      <c r="B3" s="11" t="s">
        <v>28</v>
      </c>
      <c r="C3" s="10" t="s">
        <v>23</v>
      </c>
      <c r="D3" s="10" t="s">
        <v>8</v>
      </c>
      <c r="E3" s="11" t="s">
        <v>29</v>
      </c>
      <c r="F3" s="11" t="s">
        <v>30</v>
      </c>
      <c r="G3" s="11" t="s">
        <v>31</v>
      </c>
      <c r="H3" s="10" t="s">
        <v>27</v>
      </c>
      <c r="I3" s="10" t="s">
        <v>4</v>
      </c>
      <c r="J3" s="11"/>
    </row>
    <row r="4" spans="1:10" ht="26.4" x14ac:dyDescent="0.3">
      <c r="A4" s="10">
        <v>3</v>
      </c>
      <c r="B4" s="11" t="s">
        <v>32</v>
      </c>
      <c r="C4" s="10" t="s">
        <v>23</v>
      </c>
      <c r="D4" s="10" t="s">
        <v>8</v>
      </c>
      <c r="E4" s="11" t="s">
        <v>33</v>
      </c>
      <c r="F4" s="11" t="s">
        <v>34</v>
      </c>
      <c r="G4" s="11" t="s">
        <v>35</v>
      </c>
      <c r="H4" s="10" t="s">
        <v>27</v>
      </c>
      <c r="I4" s="10" t="s">
        <v>4</v>
      </c>
      <c r="J4" s="11"/>
    </row>
    <row r="5" spans="1:10" ht="39.6" x14ac:dyDescent="0.3">
      <c r="A5" s="10">
        <v>4</v>
      </c>
      <c r="B5" s="11" t="s">
        <v>36</v>
      </c>
      <c r="C5" s="10" t="s">
        <v>37</v>
      </c>
      <c r="D5" s="10" t="s">
        <v>8</v>
      </c>
      <c r="E5" s="11" t="s">
        <v>38</v>
      </c>
      <c r="F5" s="11" t="s">
        <v>39</v>
      </c>
      <c r="G5" s="11" t="s">
        <v>40</v>
      </c>
      <c r="H5" s="10" t="s">
        <v>41</v>
      </c>
      <c r="I5" s="10" t="s">
        <v>4</v>
      </c>
      <c r="J5" s="11"/>
    </row>
    <row r="6" spans="1:10" ht="39.6" x14ac:dyDescent="0.3">
      <c r="A6" s="10">
        <v>5</v>
      </c>
      <c r="B6" s="11" t="s">
        <v>42</v>
      </c>
      <c r="C6" s="10" t="s">
        <v>43</v>
      </c>
      <c r="D6" s="10" t="s">
        <v>8</v>
      </c>
      <c r="E6" s="11" t="s">
        <v>44</v>
      </c>
      <c r="F6" s="11" t="s">
        <v>45</v>
      </c>
      <c r="G6" s="11" t="s">
        <v>46</v>
      </c>
      <c r="H6" s="10" t="s">
        <v>41</v>
      </c>
      <c r="I6" s="10" t="s">
        <v>4</v>
      </c>
      <c r="J6" s="11"/>
    </row>
    <row r="7" spans="1:10" ht="39.6" x14ac:dyDescent="0.3">
      <c r="A7" s="10">
        <v>6</v>
      </c>
      <c r="B7" s="11" t="s">
        <v>47</v>
      </c>
      <c r="C7" s="10" t="s">
        <v>23</v>
      </c>
      <c r="D7" s="10" t="s">
        <v>9</v>
      </c>
      <c r="E7" s="11" t="s">
        <v>48</v>
      </c>
      <c r="F7" s="11" t="s">
        <v>49</v>
      </c>
      <c r="G7" s="11" t="s">
        <v>50</v>
      </c>
      <c r="H7" s="10" t="s">
        <v>27</v>
      </c>
      <c r="I7" s="10" t="s">
        <v>4</v>
      </c>
      <c r="J7" s="11"/>
    </row>
    <row r="8" spans="1:10" ht="39.6" x14ac:dyDescent="0.3">
      <c r="A8" s="10">
        <v>7</v>
      </c>
      <c r="B8" s="11" t="s">
        <v>51</v>
      </c>
      <c r="C8" s="10" t="s">
        <v>23</v>
      </c>
      <c r="D8" s="10" t="s">
        <v>9</v>
      </c>
      <c r="E8" s="11" t="s">
        <v>52</v>
      </c>
      <c r="F8" s="11" t="s">
        <v>53</v>
      </c>
      <c r="G8" s="11" t="s">
        <v>54</v>
      </c>
      <c r="H8" s="10" t="s">
        <v>27</v>
      </c>
      <c r="I8" s="10" t="s">
        <v>4</v>
      </c>
      <c r="J8" s="11"/>
    </row>
    <row r="9" spans="1:10" ht="39.6" x14ac:dyDescent="0.3">
      <c r="A9" s="10">
        <v>8</v>
      </c>
      <c r="B9" s="11" t="s">
        <v>55</v>
      </c>
      <c r="C9" s="10" t="s">
        <v>37</v>
      </c>
      <c r="D9" s="10" t="s">
        <v>9</v>
      </c>
      <c r="E9" s="11" t="s">
        <v>56</v>
      </c>
      <c r="F9" s="11" t="s">
        <v>57</v>
      </c>
      <c r="G9" s="11" t="s">
        <v>58</v>
      </c>
      <c r="H9" s="10" t="s">
        <v>41</v>
      </c>
      <c r="I9" s="10" t="s">
        <v>4</v>
      </c>
      <c r="J9" s="11"/>
    </row>
    <row r="10" spans="1:10" ht="26.4" x14ac:dyDescent="0.3">
      <c r="A10" s="10">
        <v>9</v>
      </c>
      <c r="B10" s="11" t="s">
        <v>59</v>
      </c>
      <c r="C10" s="10" t="s">
        <v>37</v>
      </c>
      <c r="D10" s="10" t="s">
        <v>9</v>
      </c>
      <c r="E10" s="11" t="s">
        <v>60</v>
      </c>
      <c r="F10" s="11" t="s">
        <v>61</v>
      </c>
      <c r="G10" s="11" t="s">
        <v>62</v>
      </c>
      <c r="H10" s="10" t="s">
        <v>41</v>
      </c>
      <c r="I10" s="10" t="s">
        <v>4</v>
      </c>
      <c r="J10" s="11"/>
    </row>
    <row r="11" spans="1:10" ht="26.4" x14ac:dyDescent="0.3">
      <c r="A11" s="10">
        <v>10</v>
      </c>
      <c r="B11" s="11" t="s">
        <v>63</v>
      </c>
      <c r="C11" s="10" t="s">
        <v>37</v>
      </c>
      <c r="D11" s="10" t="s">
        <v>9</v>
      </c>
      <c r="E11" s="11" t="s">
        <v>64</v>
      </c>
      <c r="F11" s="11" t="s">
        <v>65</v>
      </c>
      <c r="G11" s="11" t="s">
        <v>66</v>
      </c>
      <c r="H11" s="10" t="s">
        <v>41</v>
      </c>
      <c r="I11" s="10" t="s">
        <v>4</v>
      </c>
      <c r="J11" s="11"/>
    </row>
    <row r="12" spans="1:10" ht="39.6" x14ac:dyDescent="0.3">
      <c r="A12" s="10">
        <v>11</v>
      </c>
      <c r="B12" s="11" t="s">
        <v>67</v>
      </c>
      <c r="C12" s="10" t="s">
        <v>37</v>
      </c>
      <c r="D12" s="10" t="s">
        <v>9</v>
      </c>
      <c r="E12" s="11" t="s">
        <v>68</v>
      </c>
      <c r="F12" s="11" t="s">
        <v>69</v>
      </c>
      <c r="G12" s="11" t="s">
        <v>70</v>
      </c>
      <c r="H12" s="10" t="s">
        <v>27</v>
      </c>
      <c r="I12" s="10" t="s">
        <v>4</v>
      </c>
      <c r="J12" s="11"/>
    </row>
    <row r="13" spans="1:10" ht="39.6" x14ac:dyDescent="0.3">
      <c r="A13" s="10">
        <v>12</v>
      </c>
      <c r="B13" s="11" t="s">
        <v>71</v>
      </c>
      <c r="C13" s="10" t="s">
        <v>72</v>
      </c>
      <c r="D13" s="10" t="s">
        <v>9</v>
      </c>
      <c r="E13" s="11" t="s">
        <v>73</v>
      </c>
      <c r="F13" s="11" t="s">
        <v>74</v>
      </c>
      <c r="G13" s="11" t="s">
        <v>75</v>
      </c>
      <c r="H13" s="10" t="s">
        <v>27</v>
      </c>
      <c r="I13" s="10" t="s">
        <v>4</v>
      </c>
      <c r="J13" s="11"/>
    </row>
    <row r="14" spans="1:10" ht="39.6" x14ac:dyDescent="0.3">
      <c r="A14" s="10">
        <v>13</v>
      </c>
      <c r="B14" s="11" t="s">
        <v>76</v>
      </c>
      <c r="C14" s="10" t="s">
        <v>77</v>
      </c>
      <c r="D14" s="10" t="s">
        <v>9</v>
      </c>
      <c r="E14" s="11" t="s">
        <v>78</v>
      </c>
      <c r="F14" s="11" t="s">
        <v>79</v>
      </c>
      <c r="G14" s="11" t="s">
        <v>80</v>
      </c>
      <c r="H14" s="10" t="s">
        <v>81</v>
      </c>
      <c r="I14" s="10" t="s">
        <v>4</v>
      </c>
      <c r="J14" s="11"/>
    </row>
    <row r="15" spans="1:10" ht="26.4" x14ac:dyDescent="0.3">
      <c r="A15" s="10">
        <v>14</v>
      </c>
      <c r="B15" s="11" t="s">
        <v>82</v>
      </c>
      <c r="C15" s="10" t="s">
        <v>23</v>
      </c>
      <c r="D15" s="10" t="s">
        <v>10</v>
      </c>
      <c r="E15" s="11" t="s">
        <v>83</v>
      </c>
      <c r="F15" s="11" t="s">
        <v>84</v>
      </c>
      <c r="G15" s="11" t="s">
        <v>85</v>
      </c>
      <c r="H15" s="10" t="s">
        <v>41</v>
      </c>
      <c r="I15" s="10" t="s">
        <v>4</v>
      </c>
      <c r="J15" s="11"/>
    </row>
    <row r="16" spans="1:10" ht="26.4" x14ac:dyDescent="0.3">
      <c r="A16" s="10">
        <v>15</v>
      </c>
      <c r="B16" s="11" t="s">
        <v>86</v>
      </c>
      <c r="C16" s="10" t="s">
        <v>37</v>
      </c>
      <c r="D16" s="10" t="s">
        <v>10</v>
      </c>
      <c r="E16" s="11" t="s">
        <v>87</v>
      </c>
      <c r="F16" s="11" t="s">
        <v>88</v>
      </c>
      <c r="G16" s="11" t="s">
        <v>89</v>
      </c>
      <c r="H16" s="10" t="s">
        <v>27</v>
      </c>
      <c r="I16" s="10" t="s">
        <v>4</v>
      </c>
      <c r="J16" s="11"/>
    </row>
    <row r="17" spans="1:10" ht="26.4" x14ac:dyDescent="0.3">
      <c r="A17" s="10">
        <v>16</v>
      </c>
      <c r="B17" s="11" t="s">
        <v>90</v>
      </c>
      <c r="C17" s="10" t="s">
        <v>37</v>
      </c>
      <c r="D17" s="10" t="s">
        <v>10</v>
      </c>
      <c r="E17" s="11" t="s">
        <v>91</v>
      </c>
      <c r="F17" s="11" t="s">
        <v>92</v>
      </c>
      <c r="G17" s="11" t="s">
        <v>93</v>
      </c>
      <c r="H17" s="10" t="s">
        <v>27</v>
      </c>
      <c r="I17" s="10" t="s">
        <v>4</v>
      </c>
      <c r="J17" s="11"/>
    </row>
    <row r="18" spans="1:10" ht="26.4" x14ac:dyDescent="0.3">
      <c r="A18" s="10">
        <v>17</v>
      </c>
      <c r="B18" s="11" t="s">
        <v>94</v>
      </c>
      <c r="C18" s="10" t="s">
        <v>95</v>
      </c>
      <c r="D18" s="10" t="s">
        <v>10</v>
      </c>
      <c r="E18" s="11" t="s">
        <v>96</v>
      </c>
      <c r="F18" s="11" t="s">
        <v>97</v>
      </c>
      <c r="G18" s="11" t="s">
        <v>98</v>
      </c>
      <c r="H18" s="10" t="s">
        <v>41</v>
      </c>
      <c r="I18" s="10" t="s">
        <v>4</v>
      </c>
      <c r="J18" s="11"/>
    </row>
  </sheetData>
  <autoFilter ref="A1:J18" xr:uid="{00000000-0009-0000-0000-000001000000}"/>
  <conditionalFormatting sqref="D2:D18">
    <cfRule type="cellIs" dxfId="5" priority="2" operator="equal">
      <formula>"Alta"</formula>
    </cfRule>
    <cfRule type="cellIs" dxfId="4" priority="3" operator="equal">
      <formula>"Media"</formula>
    </cfRule>
    <cfRule type="cellIs" dxfId="3" priority="4" operator="equal">
      <formula>"Baja"</formula>
    </cfRule>
  </conditionalFormatting>
  <conditionalFormatting sqref="I2:I18">
    <cfRule type="cellIs" dxfId="2" priority="5" operator="equal">
      <formula>"Hecho"</formula>
    </cfRule>
    <cfRule type="cellIs" dxfId="1" priority="6" operator="equal">
      <formula>"En proceso"</formula>
    </cfRule>
    <cfRule type="cellIs" dxfId="0" priority="7" operator="equal">
      <formula>"Descartado"</formula>
    </cfRule>
  </conditionalFormatting>
  <dataValidations count="1">
    <dataValidation type="list" sqref="I2:I18" xr:uid="{00000000-0002-0000-0100-000000000000}">
      <formula1>"Pendiente,En proceso,Hecho,Descartado"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Plan de acción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Froylan  Grimaldo Lara</cp:lastModifiedBy>
  <cp:revision>0</cp:revision>
  <dcterms:created xsi:type="dcterms:W3CDTF">2026-10-20T14:53:01Z</dcterms:created>
  <dcterms:modified xsi:type="dcterms:W3CDTF">2026-10-20T14:55:38Z</dcterms:modified>
  <dc:language>en-US</dc:language>
</cp:coreProperties>
</file>