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grama de Gantt" sheetId="1" state="visible" r:id="rId3"/>
  </sheets>
  <definedNames>
    <definedName function="false" hidden="false" localSheetId="0" name="_xlnm.Print_Area" vbProcedure="false">'Diagrama de Gantt'!$A$1:$T$25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<sst xmlns="http://schemas.openxmlformats.org/spreadsheetml/2006/main" count="82" uniqueCount="53">
  <si>
    <t xml:space="preserve">DIAGRAMA DE GANTT — PROYECTO INTEGRADOR 2026: SISTEMA DE INSCRIPCIONES UTSC (PÁGINA WEB Y APP MÓVIL)</t>
  </si>
  <si>
    <t xml:space="preserve">Universidad Tecnológica Santa Catarina  |  Septiembre – Noviembre 2026  |  Corte de avance: 20/10/2026</t>
  </si>
  <si>
    <t xml:space="preserve">#</t>
  </si>
  <si>
    <t xml:space="preserve">Etapa / Actividad</t>
  </si>
  <si>
    <t xml:space="preserve">Inicio</t>
  </si>
  <si>
    <t xml:space="preserve">Fin</t>
  </si>
  <si>
    <t xml:space="preserve">S1
31/08</t>
  </si>
  <si>
    <t xml:space="preserve">S2
07/09</t>
  </si>
  <si>
    <t xml:space="preserve">S3
14/09</t>
  </si>
  <si>
    <t xml:space="preserve">S4
21/09</t>
  </si>
  <si>
    <t xml:space="preserve">S5
28/09</t>
  </si>
  <si>
    <t xml:space="preserve">S6
05/10</t>
  </si>
  <si>
    <t xml:space="preserve">S7
12/10</t>
  </si>
  <si>
    <t xml:space="preserve">S8
19/10</t>
  </si>
  <si>
    <t xml:space="preserve">S9
26/10</t>
  </si>
  <si>
    <t xml:space="preserve">S10
02/11</t>
  </si>
  <si>
    <t xml:space="preserve">S11
09/11</t>
  </si>
  <si>
    <t xml:space="preserve">S12
16/11</t>
  </si>
  <si>
    <t xml:space="preserve">S13
23/11</t>
  </si>
  <si>
    <t xml:space="preserve">% avance</t>
  </si>
  <si>
    <t xml:space="preserve">Estado</t>
  </si>
  <si>
    <t xml:space="preserve">Observaciones y desviaciones respecto al plan</t>
  </si>
  <si>
    <t xml:space="preserve">Análisis de requerimientos</t>
  </si>
  <si>
    <t xml:space="preserve">✔</t>
  </si>
  <si>
    <t xml:space="preserve">Completada en tiempo. Requerimientos de inscripción, reinscripción, historial y panel de administrador.</t>
  </si>
  <si>
    <t xml:space="preserve">Diseño del sistema (arquitectura y patrones)</t>
  </si>
  <si>
    <t xml:space="preserve">Completada en tiempo. Arquitectura cliente-servidor de 3 capas y patrones MVC, Decorator, Singleton, Strategy y Observer.</t>
  </si>
  <si>
    <t xml:space="preserve">Diseño de base de datos (MongoDB Atlas)</t>
  </si>
  <si>
    <t xml:space="preserve">Completada. Colecciones de usuarios, inscripciones y reinscripciones. Después se agregaron los campos motivo_rechazo y fecha_revision.</t>
  </si>
  <si>
    <t xml:space="preserve">Desarrollo backend y API REST (Flask, JWT)</t>
  </si>
  <si>
    <t xml:space="preserve">Completada con +1 semana de desviación: se agregaron endpoints de dashboard, reportes Excel y motivo de rechazo (requerimiento nuevo). Falta publicarlos en Render.</t>
  </si>
  <si>
    <t xml:space="preserve">Desarrollo web (frontend)</t>
  </si>
  <si>
    <t xml:space="preserve">Completada con +1 semana de desviación por las pantallas nuevas de dashboard, reportes y motivo de rechazo. Se corrigió la validación de edad (mínimo 18 años).</t>
  </si>
  <si>
    <t xml:space="preserve">Desarrollo app móvil (Flutter)</t>
  </si>
  <si>
    <t xml:space="preserve">En retraso (≈1 semana): dashboard y reportes de la app aún no se prueban contra el servidor publicado y el envío de inscripción móvil sigue simulado. Pendiente conectarlo al servidor.</t>
  </si>
  <si>
    <t xml:space="preserve">Nuevas funciones: dashboard, reportes, motivo de rechazo y edad</t>
  </si>
  <si>
    <t xml:space="preserve">Requerimiento adicional solicitado el 11/10; no estaba en el plan original. Código y pruebas de servidor listos (70 verificaciones). Falta probarlo en producción.</t>
  </si>
  <si>
    <t xml:space="preserve">Seguridad y corrección de vulnerabilidades</t>
  </si>
  <si>
    <t xml:space="preserve">Plan de 17 vulnerabilidades elaborado el 20/10. Correcciones pendientes: almacenamiento seguro del token, CSRF, límite de intentos, ofuscación y respaldo de Android.</t>
  </si>
  <si>
    <t xml:space="preserve">Integración y pruebas</t>
  </si>
  <si>
    <t xml:space="preserve">Pruebas automatizadas (40 casos), Postman y regresión hechas en septiembre. Pendiente repetirlas con las funciones nuevas y las correcciones de seguridad.</t>
  </si>
  <si>
    <t xml:space="preserve">Documentación</t>
  </si>
  <si>
    <t xml:space="preserve">Plan de pruebas, documentación técnica y manual de usuario entregados. Pendiente actualizarlos con dashboard, reportes, motivo de rechazo y seguridad.</t>
  </si>
  <si>
    <t xml:space="preserve">Presentación final</t>
  </si>
  <si>
    <t xml:space="preserve">Pendiente. Presentación del proyecto en la semana del 23 al 27 de noviembre.</t>
  </si>
  <si>
    <t xml:space="preserve">AVANCE GLOBAL ESTIMADO (promedio de etapas)</t>
  </si>
  <si>
    <t xml:space="preserve">LEYENDA</t>
  </si>
  <si>
    <t xml:space="preserve">Semanas intermedias de la etapa (planeadas, pendientes)</t>
  </si>
  <si>
    <t xml:space="preserve">Semana de inicio / cierre de etapa (planeada, pendiente)</t>
  </si>
  <si>
    <t xml:space="preserve">Semana completada (avance real)</t>
  </si>
  <si>
    <t xml:space="preserve">Semana actual (corte 20/10/2026)</t>
  </si>
  <si>
    <t xml:space="preserve">Cómo registrar el avance cada semana: escribe ✔ en la celda de la semana terminada; se pinta de azul y el % de avance y el estado se actualizan solos. Anota en Observaciones cualquier desviación.</t>
  </si>
  <si>
    <t xml:space="preserve">Fechas de inicio/fin: son las planeadas. El % de avance = semanas ✔ ÷ semanas planeadas de la etapa (máx. 100 %).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</si>
</sst>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Trebuchet MS"/>
      <family val="2"/>
      <charset val="1"/>
    </font>
    <font>
      <i val="true"/>
      <sz val="10"/>
      <color rgb="FFFFFFFF"/>
      <name val="Trebuchet MS"/>
      <family val="2"/>
      <charset val="1"/>
    </font>
    <font>
      <b val="true"/>
      <sz val="8"/>
      <color rgb="FFFFFFFF"/>
      <name val="Trebuchet MS"/>
      <family val="2"/>
      <charset val="1"/>
    </font>
    <font>
      <b val="true"/>
      <sz val="8"/>
      <color rgb="FF2F2F2F"/>
      <name val="Trebuchet MS"/>
      <family val="0"/>
      <charset val="1"/>
    </font>
    <font>
      <sz val="9"/>
      <color rgb="FF2F2F2F"/>
      <name val="Trebuchet MS"/>
      <family val="2"/>
      <charset val="1"/>
    </font>
    <font>
      <b val="true"/>
      <sz val="9"/>
      <color rgb="FF2F2F2F"/>
      <name val="Trebuchet MS"/>
      <family val="2"/>
      <charset val="1"/>
    </font>
    <font>
      <b val="true"/>
      <sz val="10"/>
      <color rgb="FFFFFFFF"/>
      <name val="Segoe UI Symbol"/>
      <family val="0"/>
      <charset val="1"/>
    </font>
    <font>
      <b val="true"/>
      <sz val="10"/>
      <color rgb="FFFFFFFF"/>
      <name val="Trebuchet MS"/>
      <family val="0"/>
      <charset val="1"/>
    </font>
    <font>
      <b val="true"/>
      <sz val="9"/>
      <color rgb="FF2F2F2F"/>
      <name val="Trebuchet MS"/>
      <family val="0"/>
      <charset val="1"/>
    </font>
    <font>
      <sz val="9"/>
      <color rgb="FF2F2F2F"/>
      <name val="Trebuchet MS"/>
      <family val="0"/>
      <charset val="1"/>
    </font>
    <font>
      <b val="true"/>
      <sz val="9"/>
      <color rgb="FFFFFFFF"/>
      <name val="Trebuchet MS"/>
      <family val="2"/>
      <charset val="1"/>
    </font>
    <font>
      <b val="true"/>
      <sz val="9"/>
      <color rgb="FFFFFFFF"/>
      <name val="Trebuchet MS"/>
      <family val="0"/>
      <charset val="1"/>
    </font>
    <font>
      <sz val="9"/>
      <name val="Trebuchet MS"/>
      <family val="2"/>
      <charset val="1"/>
    </font>
    <font>
      <i val="true"/>
      <sz val="9"/>
      <name val="Trebuchet M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theme="6" tint="-0.5"/>
        <bgColor rgb="FF666699"/>
      </patternFill>
    </fill>
    <fill>
      <patternFill patternType="solid">
        <fgColor rgb="FF2F2F2F"/>
        <bgColor rgb="FF333300"/>
      </patternFill>
    </fill>
    <fill>
      <patternFill patternType="solid">
        <fgColor rgb="FFFFC000"/>
        <bgColor rgb="FFFF9900"/>
      </patternFill>
    </fill>
    <fill>
      <patternFill patternType="solid">
        <fgColor rgb="FFFFF8F0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8F0"/>
      </patternFill>
    </fill>
    <fill>
      <patternFill patternType="solid">
        <fgColor rgb="FF92D05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2F2F2F"/>
      </left>
      <right style="thin">
        <color rgb="FF2F2F2F"/>
      </right>
      <top style="thin">
        <color rgb="FF2F2F2F"/>
      </top>
      <bottom style="thin">
        <color rgb="FF2F2F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FFFFFF"/>
      </font>
      <fill>
        <patternFill>
          <bgColor rgb="FF2E75B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BFBFBF"/>
      <rgbColor rgb="FF808080"/>
      <rgbColor rgb="FF9999FF"/>
      <rgbColor rgb="FF993366"/>
      <rgbColor rgb="FFFFF8F0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5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J8" activeCellId="0" sqref="J8"/>
    </sheetView>
  </sheetViews>
  <sheetFormatPr defaultColWidth="8.88671875" defaultRowHeight="14.2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17" min="5" style="0" width="5.6"/>
    <col collapsed="false" customWidth="true" hidden="false" outlineLevel="0" max="18" min="18" style="0" width="10"/>
    <col collapsed="false" customWidth="true" hidden="false" outlineLevel="0" max="19" min="19" style="0" width="12.5"/>
    <col collapsed="false" customWidth="true" hidden="false" outlineLevel="0" max="20" min="20" style="0" width="7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6" hidden="false" customHeight="true" outlineLevel="0" collapsed="false"/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4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customFormat="false" ht="49.5" hidden="false" customHeight="true" outlineLevel="0" collapsed="false">
      <c r="A5" s="5" t="n">
        <v>1</v>
      </c>
      <c r="B5" s="6" t="s">
        <v>22</v>
      </c>
      <c r="C5" s="7" t="n">
        <v>46267</v>
      </c>
      <c r="D5" s="7" t="n">
        <v>46278</v>
      </c>
      <c r="E5" s="8" t="s">
        <v>23</v>
      </c>
      <c r="F5" s="8" t="s">
        <v>23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10" t="n">
        <f aca="false">MIN(1,COUNTIF(E5:Q5,"✔")/(((D5-WEEKDAY(D5,2))-(C5-WEEKDAY(C5,2)))/7+1))</f>
        <v>1</v>
      </c>
      <c r="S5" s="11" t="str">
        <f aca="false">IF(R5&gt;=1,"Completada",IF(R5&gt;0,"En proceso","Pendiente"))</f>
        <v>Completada</v>
      </c>
      <c r="T5" s="12" t="s">
        <v>24</v>
      </c>
    </row>
    <row r="6" customFormat="false" ht="49.5" hidden="false" customHeight="true" outlineLevel="0" collapsed="false">
      <c r="A6" s="13" t="n">
        <v>2</v>
      </c>
      <c r="B6" s="14" t="s">
        <v>25</v>
      </c>
      <c r="C6" s="15" t="n">
        <v>46272</v>
      </c>
      <c r="D6" s="15" t="n">
        <v>46285</v>
      </c>
      <c r="E6" s="9"/>
      <c r="F6" s="8" t="s">
        <v>23</v>
      </c>
      <c r="G6" s="8" t="s">
        <v>23</v>
      </c>
      <c r="H6" s="9"/>
      <c r="I6" s="9"/>
      <c r="J6" s="9"/>
      <c r="K6" s="9"/>
      <c r="L6" s="9"/>
      <c r="M6" s="9"/>
      <c r="N6" s="9"/>
      <c r="O6" s="9"/>
      <c r="P6" s="9"/>
      <c r="Q6" s="9"/>
      <c r="R6" s="16" t="n">
        <f aca="false">MIN(1,COUNTIF(E6:Q6,"✔")/(((D6-WEEKDAY(D6,2))-(C6-WEEKDAY(C6,2)))/7+1))</f>
        <v>1</v>
      </c>
      <c r="S6" s="17" t="str">
        <f aca="false">IF(R6&gt;=1,"Completada",IF(R6&gt;0,"En proceso","Pendiente"))</f>
        <v>Completada</v>
      </c>
      <c r="T6" s="18" t="s">
        <v>26</v>
      </c>
    </row>
    <row r="7" customFormat="false" ht="49.5" hidden="false" customHeight="true" outlineLevel="0" collapsed="false">
      <c r="A7" s="5" t="n">
        <v>3</v>
      </c>
      <c r="B7" s="6" t="s">
        <v>27</v>
      </c>
      <c r="C7" s="7" t="n">
        <v>46279</v>
      </c>
      <c r="D7" s="7" t="n">
        <v>46285</v>
      </c>
      <c r="E7" s="9"/>
      <c r="F7" s="9"/>
      <c r="G7" s="8" t="s">
        <v>23</v>
      </c>
      <c r="H7" s="9"/>
      <c r="I7" s="9"/>
      <c r="J7" s="9"/>
      <c r="K7" s="9"/>
      <c r="L7" s="9"/>
      <c r="M7" s="9"/>
      <c r="N7" s="9"/>
      <c r="O7" s="9"/>
      <c r="P7" s="9"/>
      <c r="Q7" s="9"/>
      <c r="R7" s="10" t="n">
        <f aca="false">MIN(1,COUNTIF(E7:Q7,"✔")/(((D7-WEEKDAY(D7,2))-(C7-WEEKDAY(C7,2)))/7+1))</f>
        <v>1</v>
      </c>
      <c r="S7" s="11" t="str">
        <f aca="false">IF(R7&gt;=1,"Completada",IF(R7&gt;0,"En proceso","Pendiente"))</f>
        <v>Completada</v>
      </c>
      <c r="T7" s="12" t="s">
        <v>28</v>
      </c>
    </row>
    <row r="8" customFormat="false" ht="49.5" hidden="false" customHeight="true" outlineLevel="0" collapsed="false">
      <c r="A8" s="13" t="n">
        <v>4</v>
      </c>
      <c r="B8" s="14" t="s">
        <v>29</v>
      </c>
      <c r="C8" s="15" t="n">
        <v>46279</v>
      </c>
      <c r="D8" s="15" t="n">
        <v>46306</v>
      </c>
      <c r="E8" s="9"/>
      <c r="F8" s="9"/>
      <c r="G8" s="8" t="s">
        <v>23</v>
      </c>
      <c r="H8" s="8" t="s">
        <v>23</v>
      </c>
      <c r="I8" s="8" t="s">
        <v>23</v>
      </c>
      <c r="J8" s="8" t="s">
        <v>23</v>
      </c>
      <c r="K8" s="8" t="s">
        <v>23</v>
      </c>
      <c r="L8" s="9"/>
      <c r="M8" s="9"/>
      <c r="N8" s="9"/>
      <c r="O8" s="9"/>
      <c r="P8" s="9"/>
      <c r="Q8" s="9"/>
      <c r="R8" s="16" t="n">
        <f aca="false">MIN(1,COUNTIF(E8:Q8,"✔")/(((D8-WEEKDAY(D8,2))-(C8-WEEKDAY(C8,2)))/7+1))</f>
        <v>1</v>
      </c>
      <c r="S8" s="17" t="str">
        <f aca="false">IF(R8&gt;=1,"Completada",IF(R8&gt;0,"En proceso","Pendiente"))</f>
        <v>Completada</v>
      </c>
      <c r="T8" s="18" t="s">
        <v>30</v>
      </c>
    </row>
    <row r="9" customFormat="false" ht="49.5" hidden="false" customHeight="true" outlineLevel="0" collapsed="false">
      <c r="A9" s="5" t="n">
        <v>5</v>
      </c>
      <c r="B9" s="6" t="s">
        <v>31</v>
      </c>
      <c r="C9" s="7" t="n">
        <v>46279</v>
      </c>
      <c r="D9" s="7" t="n">
        <v>46306</v>
      </c>
      <c r="E9" s="9"/>
      <c r="F9" s="9"/>
      <c r="G9" s="8" t="s">
        <v>23</v>
      </c>
      <c r="H9" s="8" t="s">
        <v>23</v>
      </c>
      <c r="I9" s="8" t="s">
        <v>23</v>
      </c>
      <c r="J9" s="8" t="s">
        <v>23</v>
      </c>
      <c r="K9" s="8" t="s">
        <v>23</v>
      </c>
      <c r="L9" s="9"/>
      <c r="M9" s="9"/>
      <c r="N9" s="9"/>
      <c r="O9" s="9"/>
      <c r="P9" s="9"/>
      <c r="Q9" s="9"/>
      <c r="R9" s="10" t="n">
        <f aca="false">MIN(1,COUNTIF(E9:Q9,"✔")/(((D9-WEEKDAY(D9,2))-(C9-WEEKDAY(C9,2)))/7+1))</f>
        <v>1</v>
      </c>
      <c r="S9" s="11" t="str">
        <f aca="false">IF(R9&gt;=1,"Completada",IF(R9&gt;0,"En proceso","Pendiente"))</f>
        <v>Completada</v>
      </c>
      <c r="T9" s="12" t="s">
        <v>32</v>
      </c>
    </row>
    <row r="10" customFormat="false" ht="49.5" hidden="false" customHeight="true" outlineLevel="0" collapsed="false">
      <c r="A10" s="13" t="n">
        <v>6</v>
      </c>
      <c r="B10" s="14" t="s">
        <v>33</v>
      </c>
      <c r="C10" s="15" t="n">
        <v>46286</v>
      </c>
      <c r="D10" s="15" t="n">
        <v>46313</v>
      </c>
      <c r="E10" s="9"/>
      <c r="F10" s="9"/>
      <c r="G10" s="9"/>
      <c r="H10" s="8" t="s">
        <v>23</v>
      </c>
      <c r="I10" s="8" t="s">
        <v>23</v>
      </c>
      <c r="J10" s="8" t="s">
        <v>23</v>
      </c>
      <c r="K10" s="19"/>
      <c r="L10" s="9"/>
      <c r="M10" s="9"/>
      <c r="N10" s="9"/>
      <c r="O10" s="9"/>
      <c r="P10" s="9"/>
      <c r="Q10" s="9"/>
      <c r="R10" s="16" t="n">
        <f aca="false">MIN(1,COUNTIF(E10:Q10,"✔")/(((D10-WEEKDAY(D10,2))-(C10-WEEKDAY(C10,2)))/7+1))</f>
        <v>0.75</v>
      </c>
      <c r="S10" s="17" t="str">
        <f aca="false">IF(R10&gt;=1,"Completada",IF(R10&gt;0,"En proceso","Pendiente"))</f>
        <v>En proceso</v>
      </c>
      <c r="T10" s="18" t="s">
        <v>34</v>
      </c>
    </row>
    <row r="11" customFormat="false" ht="49.5" hidden="false" customHeight="true" outlineLevel="0" collapsed="false">
      <c r="A11" s="5" t="n">
        <v>7</v>
      </c>
      <c r="B11" s="6" t="s">
        <v>35</v>
      </c>
      <c r="C11" s="7" t="n">
        <v>46306</v>
      </c>
      <c r="D11" s="7" t="n">
        <v>46320</v>
      </c>
      <c r="E11" s="9"/>
      <c r="F11" s="9"/>
      <c r="G11" s="9"/>
      <c r="H11" s="9"/>
      <c r="I11" s="9"/>
      <c r="J11" s="8" t="s">
        <v>23</v>
      </c>
      <c r="K11" s="8" t="s">
        <v>23</v>
      </c>
      <c r="L11" s="19"/>
      <c r="M11" s="9"/>
      <c r="N11" s="9"/>
      <c r="O11" s="9"/>
      <c r="P11" s="9"/>
      <c r="Q11" s="9"/>
      <c r="R11" s="10" t="n">
        <f aca="false">MIN(1,COUNTIF(E11:Q11,"✔")/(((D11-WEEKDAY(D11,2))-(C11-WEEKDAY(C11,2)))/7+1))</f>
        <v>0.666666666666667</v>
      </c>
      <c r="S11" s="11" t="str">
        <f aca="false">IF(R11&gt;=1,"Completada",IF(R11&gt;0,"En proceso","Pendiente"))</f>
        <v>En proceso</v>
      </c>
      <c r="T11" s="12" t="s">
        <v>36</v>
      </c>
    </row>
    <row r="12" customFormat="false" ht="49.5" hidden="false" customHeight="true" outlineLevel="0" collapsed="false">
      <c r="A12" s="13" t="n">
        <v>8</v>
      </c>
      <c r="B12" s="14" t="s">
        <v>37</v>
      </c>
      <c r="C12" s="15" t="n">
        <v>46314</v>
      </c>
      <c r="D12" s="15" t="n">
        <v>46334</v>
      </c>
      <c r="E12" s="9"/>
      <c r="F12" s="9"/>
      <c r="G12" s="9"/>
      <c r="H12" s="9"/>
      <c r="I12" s="9"/>
      <c r="J12" s="9"/>
      <c r="K12" s="9"/>
      <c r="L12" s="19"/>
      <c r="M12" s="20"/>
      <c r="N12" s="19"/>
      <c r="O12" s="9"/>
      <c r="P12" s="9"/>
      <c r="Q12" s="9"/>
      <c r="R12" s="16" t="n">
        <f aca="false">MIN(1,COUNTIF(E12:Q12,"✔")/(((D12-WEEKDAY(D12,2))-(C12-WEEKDAY(C12,2)))/7+1))</f>
        <v>0</v>
      </c>
      <c r="S12" s="17" t="str">
        <f aca="false">IF(R12&gt;=1,"Completada",IF(R12&gt;0,"En proceso","Pendiente"))</f>
        <v>Pendiente</v>
      </c>
      <c r="T12" s="18" t="s">
        <v>38</v>
      </c>
    </row>
    <row r="13" customFormat="false" ht="49.5" hidden="false" customHeight="true" outlineLevel="0" collapsed="false">
      <c r="A13" s="5" t="n">
        <v>9</v>
      </c>
      <c r="B13" s="6" t="s">
        <v>39</v>
      </c>
      <c r="C13" s="7" t="n">
        <v>46293</v>
      </c>
      <c r="D13" s="7" t="n">
        <v>46341</v>
      </c>
      <c r="E13" s="9"/>
      <c r="F13" s="9"/>
      <c r="G13" s="9"/>
      <c r="H13" s="9"/>
      <c r="I13" s="8" t="s">
        <v>23</v>
      </c>
      <c r="J13" s="8" t="s">
        <v>23</v>
      </c>
      <c r="K13" s="8" t="s">
        <v>23</v>
      </c>
      <c r="L13" s="20"/>
      <c r="M13" s="20"/>
      <c r="N13" s="20"/>
      <c r="O13" s="19"/>
      <c r="P13" s="9"/>
      <c r="Q13" s="9"/>
      <c r="R13" s="10" t="n">
        <f aca="false">MIN(1,COUNTIF(E13:Q13,"✔")/(((D13-WEEKDAY(D13,2))-(C13-WEEKDAY(C13,2)))/7+1))</f>
        <v>0.428571428571429</v>
      </c>
      <c r="S13" s="11" t="str">
        <f aca="false">IF(R13&gt;=1,"Completada",IF(R13&gt;0,"En proceso","Pendiente"))</f>
        <v>En proceso</v>
      </c>
      <c r="T13" s="12" t="s">
        <v>40</v>
      </c>
    </row>
    <row r="14" customFormat="false" ht="49.5" hidden="false" customHeight="true" outlineLevel="0" collapsed="false">
      <c r="A14" s="13" t="n">
        <v>10</v>
      </c>
      <c r="B14" s="14" t="s">
        <v>41</v>
      </c>
      <c r="C14" s="15" t="n">
        <v>46272</v>
      </c>
      <c r="D14" s="15" t="n">
        <v>46346</v>
      </c>
      <c r="E14" s="9"/>
      <c r="F14" s="8" t="s">
        <v>23</v>
      </c>
      <c r="G14" s="8" t="s">
        <v>23</v>
      </c>
      <c r="H14" s="8" t="s">
        <v>23</v>
      </c>
      <c r="I14" s="8" t="s">
        <v>23</v>
      </c>
      <c r="J14" s="8" t="s">
        <v>23</v>
      </c>
      <c r="K14" s="8" t="s">
        <v>23</v>
      </c>
      <c r="L14" s="20"/>
      <c r="M14" s="20"/>
      <c r="N14" s="20"/>
      <c r="O14" s="20"/>
      <c r="P14" s="19"/>
      <c r="Q14" s="9"/>
      <c r="R14" s="16" t="n">
        <f aca="false">MIN(1,COUNTIF(E14:Q14,"✔")/(((D14-WEEKDAY(D14,2))-(C14-WEEKDAY(C14,2)))/7+1))</f>
        <v>0.545454545454545</v>
      </c>
      <c r="S14" s="17" t="str">
        <f aca="false">IF(R14&gt;=1,"Completada",IF(R14&gt;0,"En proceso","Pendiente"))</f>
        <v>En proceso</v>
      </c>
      <c r="T14" s="18" t="s">
        <v>42</v>
      </c>
    </row>
    <row r="15" customFormat="false" ht="49.5" hidden="false" customHeight="true" outlineLevel="0" collapsed="false">
      <c r="A15" s="5" t="n">
        <v>11</v>
      </c>
      <c r="B15" s="6" t="s">
        <v>43</v>
      </c>
      <c r="C15" s="7" t="n">
        <v>46349</v>
      </c>
      <c r="D15" s="7" t="n">
        <v>46353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19"/>
      <c r="R15" s="10" t="n">
        <f aca="false">MIN(1,COUNTIF(E15:Q15,"✔")/(((D15-WEEKDAY(D15,2))-(C15-WEEKDAY(C15,2)))/7+1))</f>
        <v>0</v>
      </c>
      <c r="S15" s="11" t="str">
        <f aca="false">IF(R15&gt;=1,"Completada",IF(R15&gt;0,"En proceso","Pendiente"))</f>
        <v>Pendiente</v>
      </c>
      <c r="T15" s="12" t="s">
        <v>44</v>
      </c>
    </row>
    <row r="16" customFormat="false" ht="21.75" hidden="false" customHeight="true" outlineLevel="0" collapsed="false">
      <c r="B16" s="21" t="s">
        <v>45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 t="n">
        <f aca="false">AVERAGE(R5:R15)</f>
        <v>0.671881149153876</v>
      </c>
    </row>
    <row r="18" customFormat="false" ht="14.25" hidden="false" customHeight="false" outlineLevel="0" collapsed="false">
      <c r="A18" s="23" t="s">
        <v>46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  <row r="19" customFormat="false" ht="15" hidden="false" customHeight="true" outlineLevel="0" collapsed="false">
      <c r="A19" s="24"/>
      <c r="B19" s="25" t="s">
        <v>47</v>
      </c>
      <c r="C19" s="25"/>
      <c r="D19" s="25"/>
      <c r="E19" s="25"/>
      <c r="F19" s="25"/>
      <c r="G19" s="25"/>
      <c r="H19" s="25"/>
    </row>
    <row r="20" customFormat="false" ht="15" hidden="false" customHeight="true" outlineLevel="0" collapsed="false">
      <c r="A20" s="26"/>
      <c r="B20" s="25" t="s">
        <v>48</v>
      </c>
      <c r="C20" s="25"/>
      <c r="D20" s="25"/>
      <c r="E20" s="25"/>
      <c r="F20" s="25"/>
      <c r="G20" s="25"/>
      <c r="H20" s="25"/>
    </row>
    <row r="21" customFormat="false" ht="15" hidden="false" customHeight="true" outlineLevel="0" collapsed="false">
      <c r="A21" s="27" t="s">
        <v>23</v>
      </c>
      <c r="B21" s="25" t="s">
        <v>49</v>
      </c>
      <c r="C21" s="25"/>
      <c r="D21" s="25"/>
      <c r="E21" s="25"/>
      <c r="F21" s="25"/>
      <c r="G21" s="25"/>
      <c r="H21" s="25"/>
    </row>
    <row r="22" customFormat="false" ht="15" hidden="false" customHeight="true" outlineLevel="0" collapsed="false">
      <c r="A22" s="28"/>
      <c r="B22" s="25" t="s">
        <v>50</v>
      </c>
      <c r="C22" s="25"/>
      <c r="D22" s="25"/>
      <c r="E22" s="25"/>
      <c r="F22" s="25"/>
      <c r="G22" s="25"/>
      <c r="H22" s="25"/>
    </row>
    <row r="24" customFormat="false" ht="14.25" hidden="false" customHeight="false" outlineLevel="0" collapsed="false">
      <c r="A24" s="29" t="s">
        <v>51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</row>
    <row r="25" customFormat="false" ht="14.25" hidden="false" customHeight="false" outlineLevel="0" collapsed="false">
      <c r="A25" s="29" t="s">
        <v>52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</row>
  </sheetData>
  <mergeCells count="10">
    <mergeCell ref="A1:T1"/>
    <mergeCell ref="A2:T2"/>
    <mergeCell ref="B16:Q16"/>
    <mergeCell ref="A18:Q18"/>
    <mergeCell ref="B19:H19"/>
    <mergeCell ref="B20:H20"/>
    <mergeCell ref="B21:H21"/>
    <mergeCell ref="B22:H22"/>
    <mergeCell ref="A24:T24"/>
    <mergeCell ref="A25:T25"/>
  </mergeCells>
  <conditionalFormatting sqref="E5:Q15">
    <cfRule type="cellIs" priority="2" operator="equal" aboveAverage="0" equalAverage="0" bottom="0" percent="0" rank="0" text="" dxfId="0">
      <formula>"✔"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2026-06-05T04:30:01Z</dcterms:created>
  <dc:creator>openpyxl</dc:creator>
  <dc:description/>
  <dc:language>en-US</dc:language>
  <cp:lastModifiedBy>Juan Pablo Vega</cp:lastModifiedBy>
  <dcterms:modified xsi:type="dcterms:W3CDTF">2026-10-20T19:39:53Z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0x010100E870927A2B41C147B43810AE18B6F57D</vt:lpwstr>
  </property>
</Properties>
</file>