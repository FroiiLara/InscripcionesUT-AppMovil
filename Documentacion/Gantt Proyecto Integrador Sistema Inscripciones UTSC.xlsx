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oylan Grimaldo\Downloads\"/>
    </mc:Choice>
  </mc:AlternateContent>
  <xr:revisionPtr revIDLastSave="0" documentId="13_ncr:1_{F328C831-91EE-47F6-8452-FB77274FA3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agrama de Gantt" sheetId="1" r:id="rId1"/>
  </sheets>
  <definedNames>
    <definedName name="_xlnm.Print_Area" localSheetId="0">'Diagrama de Gantt'!$A$1:$T$25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5" i="1" l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R16" i="1" l="1"/>
  <c r="S5" i="1"/>
</calcChain>
</file>

<file path=xl/sharedStrings.xml><?xml version="1.0" encoding="utf-8"?>
<sst xmlns="http://schemas.openxmlformats.org/spreadsheetml/2006/main" count="88" uniqueCount="53">
  <si>
    <t>DIAGRAMA DE GANTT — PROYECTO INTEGRADOR 2026: SISTEMA DE INSCRIPCIONES UTSC (PÁGINA WEB Y APP MÓVIL)</t>
  </si>
  <si>
    <t>Universidad Tecnológica Santa Catarina  |  Septiembre – Noviembre 2026  |  Corte de avance: 26/10/2026</t>
  </si>
  <si>
    <t>#</t>
  </si>
  <si>
    <t>Etapa / Actividad</t>
  </si>
  <si>
    <t>Inicio</t>
  </si>
  <si>
    <t>Fin</t>
  </si>
  <si>
    <t>S1
31/08</t>
  </si>
  <si>
    <t>S2
07/09</t>
  </si>
  <si>
    <t>S3
14/09</t>
  </si>
  <si>
    <t>S4
21/09</t>
  </si>
  <si>
    <t>S5
28/09</t>
  </si>
  <si>
    <t>S6
05/10</t>
  </si>
  <si>
    <t>S7
12/10</t>
  </si>
  <si>
    <t>S8
19/10</t>
  </si>
  <si>
    <t>S9
26/10</t>
  </si>
  <si>
    <t>S10
02/11</t>
  </si>
  <si>
    <t>S11
09/11</t>
  </si>
  <si>
    <t>S12
16/11</t>
  </si>
  <si>
    <t>S13
23/11</t>
  </si>
  <si>
    <t>% avance</t>
  </si>
  <si>
    <t>Estado</t>
  </si>
  <si>
    <t>Observaciones y desviaciones respecto al plan</t>
  </si>
  <si>
    <t>Análisis de requerimientos</t>
  </si>
  <si>
    <t>✔</t>
  </si>
  <si>
    <t>Completada en tiempo. Requerimientos de inscripción, reinscripción, historial y panel de administrador.</t>
  </si>
  <si>
    <t>Diseño del sistema (arquitectura y patrones)</t>
  </si>
  <si>
    <t>Completada en tiempo. Arquitectura cliente-servidor de 3 capas y patrones MVC, Decorator, Singleton, Strategy y Observer.</t>
  </si>
  <si>
    <t>Diseño de base de datos (MongoDB Atlas)</t>
  </si>
  <si>
    <t>Completada. Colecciones de usuarios, inscripciones y reinscripciones. Después se agregaron los campos motivo_rechazo y fecha_revision.</t>
  </si>
  <si>
    <t>Desarrollo backend y API REST (Flask, JWT)</t>
  </si>
  <si>
    <t>Completada con +1 semana de desviación: se agregaron endpoints de dashboard, reportes Excel y motivo de rechazo (requerimiento nuevo). Ya publicados en Render.</t>
  </si>
  <si>
    <t>Desarrollo web (frontend)</t>
  </si>
  <si>
    <t>Completada con +1 semana de desviación por las pantallas nuevas de dashboard, reportes y motivo de rechazo. Se corrigió la validación de edad (mínimo 18 años).</t>
  </si>
  <si>
    <t>Desarrollo app móvil (Flutter)</t>
  </si>
  <si>
    <t>Completada con ≈1 semana de retraso (plan: 18/10; terminada en S8) porque el dashboard y los reportes dependían de publicar el backend. Por confirmar: el envío de inscripción móvil estaba simulado.</t>
  </si>
  <si>
    <t>Nuevas funciones: dashboard, reportes, motivo de rechazo y edad</t>
  </si>
  <si>
    <t>Completada en la fecha planeada (25/10) y publicada en Render. Fue un requerimiento adicional solicitado el 11/10; no estaba en el plan original.</t>
  </si>
  <si>
    <t>Seguridad y corrección de vulnerabilidades</t>
  </si>
  <si>
    <t>En proceso: plan de 17 vulnerabilidades elaborado el 20/10 y avance en S8. Pendiente el resto de correcciones (almacenamiento seguro del token, CSRF, límite de intentos, ofuscación, respaldo de Android).</t>
  </si>
  <si>
    <t>Integración y pruebas</t>
  </si>
  <si>
    <t>Pruebas automatizadas (40 casos), Postman y regresión hechas en septiembre; en S8 se avanzó con las funciones nuevas. Pendiente repetirlas tras las correcciones de seguridad.</t>
  </si>
  <si>
    <t>Documentación</t>
  </si>
  <si>
    <t>Plan de pruebas, documentación técnica y manual de usuario entregados; en S8 se avanzó en su actualización. Pendiente incluir dashboard, reportes, motivo de rechazo y seguridad, y subir el Gantt al repositorio.</t>
  </si>
  <si>
    <t>Presentación final</t>
  </si>
  <si>
    <t>Pendiente. Presentación del proyecto en la semana del 23 al 27 de noviembre.</t>
  </si>
  <si>
    <t>AVANCE GLOBAL ESTIMADO (promedio de etapas)</t>
  </si>
  <si>
    <t>LEYENDA</t>
  </si>
  <si>
    <t>Semanas intermedias de la etapa (planeadas, pendientes)</t>
  </si>
  <si>
    <t>Semana de inicio / cierre de etapa (planeada, pendiente)</t>
  </si>
  <si>
    <t>Semana completada (avance real)</t>
  </si>
  <si>
    <t>Semana actual (corte 26/10/2026)</t>
  </si>
  <si>
    <t>Cómo registrar el avance cada semana: escribe ✔ en la celda de la semana terminada; se pinta de azul y el % de avance y el estado se actualizan solos. Anota en Observaciones cualquier desviación.</t>
  </si>
  <si>
    <t>Fechas de inicio/fin: son las planeadas. El % de avance = semanas ✔ ÷ semanas planeadas de la etapa (máx. 100 %).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</si>
</sst>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Trebuchet MS"/>
      <family val="2"/>
      <charset val="1"/>
    </font>
    <font>
      <i/>
      <sz val="10"/>
      <color rgb="FFFFFFFF"/>
      <name val="Trebuchet MS"/>
      <family val="2"/>
      <charset val="1"/>
    </font>
    <font>
      <b/>
      <sz val="8"/>
      <color rgb="FFFFFFFF"/>
      <name val="Trebuchet MS"/>
      <family val="2"/>
      <charset val="1"/>
    </font>
    <font>
      <b/>
      <sz val="8"/>
      <color rgb="FF2F2F2F"/>
      <name val="Trebuchet MS"/>
      <charset val="1"/>
    </font>
    <font>
      <sz val="9"/>
      <color rgb="FF2F2F2F"/>
      <name val="Trebuchet MS"/>
      <family val="2"/>
      <charset val="1"/>
    </font>
    <font>
      <b/>
      <sz val="9"/>
      <color rgb="FF2F2F2F"/>
      <name val="Trebuchet MS"/>
      <family val="2"/>
      <charset val="1"/>
    </font>
    <font>
      <b/>
      <sz val="10"/>
      <color rgb="FFFFFFFF"/>
      <name val="Segoe UI Symbol"/>
      <charset val="1"/>
    </font>
    <font>
      <b/>
      <sz val="10"/>
      <color rgb="FFFFFFFF"/>
      <name val="Trebuchet MS"/>
      <charset val="1"/>
    </font>
    <font>
      <b/>
      <sz val="9"/>
      <color rgb="FF2F2F2F"/>
      <name val="Trebuchet MS"/>
      <charset val="1"/>
    </font>
    <font>
      <sz val="9"/>
      <color rgb="FF2F2F2F"/>
      <name val="Trebuchet MS"/>
      <charset val="1"/>
    </font>
    <font>
      <b/>
      <sz val="9"/>
      <color rgb="FFFFFFFF"/>
      <name val="Trebuchet MS"/>
      <family val="2"/>
      <charset val="1"/>
    </font>
    <font>
      <b/>
      <sz val="9"/>
      <color rgb="FFFFFFFF"/>
      <name val="Trebuchet MS"/>
      <charset val="1"/>
    </font>
    <font>
      <sz val="9"/>
      <name val="Trebuchet MS"/>
      <family val="2"/>
      <charset val="1"/>
    </font>
    <font>
      <i/>
      <sz val="9"/>
      <name val="Trebuchet MS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6" tint="-0.499984740745262"/>
        <bgColor rgb="FF666699"/>
      </patternFill>
    </fill>
    <fill>
      <patternFill patternType="solid">
        <fgColor rgb="FF2F2F2F"/>
        <bgColor rgb="FF333300"/>
      </patternFill>
    </fill>
    <fill>
      <patternFill patternType="solid">
        <fgColor rgb="FFFFC000"/>
        <bgColor rgb="FFFF9900"/>
      </patternFill>
    </fill>
    <fill>
      <patternFill patternType="solid">
        <fgColor rgb="FFFFF8F0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8F0"/>
      </patternFill>
    </fill>
    <fill>
      <patternFill patternType="solid">
        <fgColor rgb="FF92D050"/>
        <bgColor rgb="FFBFBFB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F2F2F"/>
      </left>
      <right style="thin">
        <color rgb="FF2F2F2F"/>
      </right>
      <top style="thin">
        <color rgb="FF2F2F2F"/>
      </top>
      <bottom style="thin">
        <color rgb="FF2F2F2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4" fillId="0" borderId="0" xfId="0" applyFont="1"/>
    <xf numFmtId="0" fontId="13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8" fillId="4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9" fontId="9" fillId="6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9" fontId="9" fillId="8" borderId="3" xfId="0" applyNumberFormat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0" fontId="12" fillId="9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color rgb="FFFFFFFF"/>
      </font>
      <fill>
        <patternFill>
          <bgColor rgb="FF2E7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FBFBF"/>
      <rgbColor rgb="FF808080"/>
      <rgbColor rgb="FF9999FF"/>
      <rgbColor rgb="FF993366"/>
      <rgbColor rgb="FFFFF8F0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5"/>
  <sheetViews>
    <sheetView showGridLines="0" tabSelected="1" zoomScale="110" zoomScaleNormal="110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M10" sqref="M10"/>
    </sheetView>
  </sheetViews>
  <sheetFormatPr baseColWidth="10" defaultColWidth="8.88671875" defaultRowHeight="14.4" x14ac:dyDescent="0.3"/>
  <cols>
    <col min="1" max="1" width="4.44140625" customWidth="1"/>
    <col min="2" max="2" width="34" customWidth="1"/>
    <col min="3" max="4" width="10" customWidth="1"/>
    <col min="5" max="17" width="5.5546875" customWidth="1"/>
    <col min="18" max="18" width="10" customWidth="1"/>
    <col min="19" max="19" width="12.44140625" customWidth="1"/>
    <col min="20" max="20" width="70" customWidth="1"/>
  </cols>
  <sheetData>
    <row r="1" spans="1:20" ht="30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8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6" customHeight="1" x14ac:dyDescent="0.3"/>
    <row r="4" spans="1:20" ht="31.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8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</row>
    <row r="5" spans="1:20" ht="49.5" customHeight="1" x14ac:dyDescent="0.3">
      <c r="A5" s="9">
        <v>1</v>
      </c>
      <c r="B5" s="10" t="s">
        <v>22</v>
      </c>
      <c r="C5" s="11">
        <v>46267</v>
      </c>
      <c r="D5" s="11">
        <v>46278</v>
      </c>
      <c r="E5" s="12" t="s">
        <v>23</v>
      </c>
      <c r="F5" s="12" t="s">
        <v>23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>
        <f t="shared" ref="R5:R15" si="0">MIN(1,COUNTIF(E5:Q5,"✔")/(((D5-WEEKDAY(D5,2))-(C5-WEEKDAY(C5,2)))/7+1))</f>
        <v>1</v>
      </c>
      <c r="S5" s="15" t="str">
        <f t="shared" ref="S5:S15" si="1">IF(R5&gt;=1,"Completada",IF(R5&gt;0,"En proceso","Pendiente"))</f>
        <v>Completada</v>
      </c>
      <c r="T5" s="16" t="s">
        <v>24</v>
      </c>
    </row>
    <row r="6" spans="1:20" ht="49.5" customHeight="1" x14ac:dyDescent="0.3">
      <c r="A6" s="17">
        <v>2</v>
      </c>
      <c r="B6" s="18" t="s">
        <v>25</v>
      </c>
      <c r="C6" s="19">
        <v>46272</v>
      </c>
      <c r="D6" s="19">
        <v>46285</v>
      </c>
      <c r="E6" s="13"/>
      <c r="F6" s="12" t="s">
        <v>23</v>
      </c>
      <c r="G6" s="12" t="s">
        <v>23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20">
        <f t="shared" si="0"/>
        <v>1</v>
      </c>
      <c r="S6" s="21" t="str">
        <f t="shared" si="1"/>
        <v>Completada</v>
      </c>
      <c r="T6" s="22" t="s">
        <v>26</v>
      </c>
    </row>
    <row r="7" spans="1:20" ht="49.5" customHeight="1" x14ac:dyDescent="0.3">
      <c r="A7" s="9">
        <v>3</v>
      </c>
      <c r="B7" s="10" t="s">
        <v>27</v>
      </c>
      <c r="C7" s="11">
        <v>46279</v>
      </c>
      <c r="D7" s="11">
        <v>46285</v>
      </c>
      <c r="E7" s="13"/>
      <c r="F7" s="13"/>
      <c r="G7" s="12" t="s">
        <v>23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4">
        <f t="shared" si="0"/>
        <v>1</v>
      </c>
      <c r="S7" s="15" t="str">
        <f t="shared" si="1"/>
        <v>Completada</v>
      </c>
      <c r="T7" s="16" t="s">
        <v>28</v>
      </c>
    </row>
    <row r="8" spans="1:20" ht="49.5" customHeight="1" x14ac:dyDescent="0.3">
      <c r="A8" s="17">
        <v>4</v>
      </c>
      <c r="B8" s="18" t="s">
        <v>29</v>
      </c>
      <c r="C8" s="19">
        <v>46279</v>
      </c>
      <c r="D8" s="19">
        <v>46306</v>
      </c>
      <c r="E8" s="13"/>
      <c r="F8" s="13"/>
      <c r="G8" s="12" t="s">
        <v>23</v>
      </c>
      <c r="H8" s="12" t="s">
        <v>23</v>
      </c>
      <c r="I8" s="12" t="s">
        <v>23</v>
      </c>
      <c r="J8" s="12" t="s">
        <v>23</v>
      </c>
      <c r="K8" s="12" t="s">
        <v>23</v>
      </c>
      <c r="L8" s="13"/>
      <c r="M8" s="13"/>
      <c r="N8" s="13"/>
      <c r="O8" s="13"/>
      <c r="P8" s="13"/>
      <c r="Q8" s="13"/>
      <c r="R8" s="20">
        <f t="shared" si="0"/>
        <v>1</v>
      </c>
      <c r="S8" s="21" t="str">
        <f t="shared" si="1"/>
        <v>Completada</v>
      </c>
      <c r="T8" s="22" t="s">
        <v>30</v>
      </c>
    </row>
    <row r="9" spans="1:20" ht="49.5" customHeight="1" x14ac:dyDescent="0.3">
      <c r="A9" s="9">
        <v>5</v>
      </c>
      <c r="B9" s="10" t="s">
        <v>31</v>
      </c>
      <c r="C9" s="11">
        <v>46279</v>
      </c>
      <c r="D9" s="11">
        <v>46306</v>
      </c>
      <c r="E9" s="13"/>
      <c r="F9" s="13"/>
      <c r="G9" s="12" t="s">
        <v>23</v>
      </c>
      <c r="H9" s="12" t="s">
        <v>23</v>
      </c>
      <c r="I9" s="12" t="s">
        <v>23</v>
      </c>
      <c r="J9" s="12" t="s">
        <v>23</v>
      </c>
      <c r="K9" s="12" t="s">
        <v>23</v>
      </c>
      <c r="L9" s="13"/>
      <c r="M9" s="13"/>
      <c r="N9" s="13"/>
      <c r="O9" s="13"/>
      <c r="P9" s="13"/>
      <c r="Q9" s="13"/>
      <c r="R9" s="14">
        <f t="shared" si="0"/>
        <v>1</v>
      </c>
      <c r="S9" s="15" t="str">
        <f t="shared" si="1"/>
        <v>Completada</v>
      </c>
      <c r="T9" s="16" t="s">
        <v>32</v>
      </c>
    </row>
    <row r="10" spans="1:20" ht="49.5" customHeight="1" x14ac:dyDescent="0.3">
      <c r="A10" s="17">
        <v>6</v>
      </c>
      <c r="B10" s="18" t="s">
        <v>33</v>
      </c>
      <c r="C10" s="19">
        <v>46286</v>
      </c>
      <c r="D10" s="19">
        <v>46313</v>
      </c>
      <c r="E10" s="13"/>
      <c r="F10" s="13"/>
      <c r="G10" s="13"/>
      <c r="H10" s="12" t="s">
        <v>23</v>
      </c>
      <c r="I10" s="12" t="s">
        <v>23</v>
      </c>
      <c r="J10" s="12" t="s">
        <v>23</v>
      </c>
      <c r="K10" s="12" t="s">
        <v>23</v>
      </c>
      <c r="L10" s="12" t="s">
        <v>23</v>
      </c>
      <c r="M10" s="13"/>
      <c r="N10" s="13"/>
      <c r="O10" s="13"/>
      <c r="P10" s="13"/>
      <c r="Q10" s="13"/>
      <c r="R10" s="20">
        <f t="shared" si="0"/>
        <v>1</v>
      </c>
      <c r="S10" s="21" t="str">
        <f t="shared" si="1"/>
        <v>Completada</v>
      </c>
      <c r="T10" s="22" t="s">
        <v>34</v>
      </c>
    </row>
    <row r="11" spans="1:20" ht="49.5" customHeight="1" x14ac:dyDescent="0.3">
      <c r="A11" s="9">
        <v>7</v>
      </c>
      <c r="B11" s="10" t="s">
        <v>35</v>
      </c>
      <c r="C11" s="11">
        <v>46306</v>
      </c>
      <c r="D11" s="11">
        <v>46320</v>
      </c>
      <c r="E11" s="13"/>
      <c r="F11" s="13"/>
      <c r="G11" s="13"/>
      <c r="H11" s="13"/>
      <c r="I11" s="13"/>
      <c r="J11" s="12" t="s">
        <v>23</v>
      </c>
      <c r="K11" s="12" t="s">
        <v>23</v>
      </c>
      <c r="L11" s="12" t="s">
        <v>23</v>
      </c>
      <c r="M11" s="13"/>
      <c r="N11" s="13"/>
      <c r="O11" s="13"/>
      <c r="P11" s="13"/>
      <c r="Q11" s="13"/>
      <c r="R11" s="14">
        <f t="shared" si="0"/>
        <v>1</v>
      </c>
      <c r="S11" s="15" t="str">
        <f t="shared" si="1"/>
        <v>Completada</v>
      </c>
      <c r="T11" s="16" t="s">
        <v>36</v>
      </c>
    </row>
    <row r="12" spans="1:20" ht="49.5" customHeight="1" x14ac:dyDescent="0.3">
      <c r="A12" s="17">
        <v>8</v>
      </c>
      <c r="B12" s="18" t="s">
        <v>37</v>
      </c>
      <c r="C12" s="19">
        <v>46314</v>
      </c>
      <c r="D12" s="19">
        <v>46334</v>
      </c>
      <c r="E12" s="13"/>
      <c r="F12" s="13"/>
      <c r="G12" s="13"/>
      <c r="H12" s="13"/>
      <c r="I12" s="13"/>
      <c r="J12" s="13"/>
      <c r="K12" s="13"/>
      <c r="L12" s="12" t="s">
        <v>23</v>
      </c>
      <c r="M12" s="24"/>
      <c r="N12" s="23"/>
      <c r="O12" s="13"/>
      <c r="P12" s="13"/>
      <c r="Q12" s="13"/>
      <c r="R12" s="20">
        <f t="shared" si="0"/>
        <v>0.33333333333333331</v>
      </c>
      <c r="S12" s="21" t="str">
        <f t="shared" si="1"/>
        <v>En proceso</v>
      </c>
      <c r="T12" s="22" t="s">
        <v>38</v>
      </c>
    </row>
    <row r="13" spans="1:20" ht="49.5" customHeight="1" x14ac:dyDescent="0.3">
      <c r="A13" s="9">
        <v>9</v>
      </c>
      <c r="B13" s="10" t="s">
        <v>39</v>
      </c>
      <c r="C13" s="11">
        <v>46293</v>
      </c>
      <c r="D13" s="11">
        <v>46341</v>
      </c>
      <c r="E13" s="13"/>
      <c r="F13" s="13"/>
      <c r="G13" s="13"/>
      <c r="H13" s="13"/>
      <c r="I13" s="12" t="s">
        <v>23</v>
      </c>
      <c r="J13" s="12" t="s">
        <v>23</v>
      </c>
      <c r="K13" s="12" t="s">
        <v>23</v>
      </c>
      <c r="L13" s="12" t="s">
        <v>23</v>
      </c>
      <c r="M13" s="24"/>
      <c r="N13" s="24"/>
      <c r="O13" s="23"/>
      <c r="P13" s="13"/>
      <c r="Q13" s="13"/>
      <c r="R13" s="14">
        <f t="shared" si="0"/>
        <v>0.5714285714285714</v>
      </c>
      <c r="S13" s="15" t="str">
        <f t="shared" si="1"/>
        <v>En proceso</v>
      </c>
      <c r="T13" s="16" t="s">
        <v>40</v>
      </c>
    </row>
    <row r="14" spans="1:20" ht="49.5" customHeight="1" x14ac:dyDescent="0.3">
      <c r="A14" s="17">
        <v>10</v>
      </c>
      <c r="B14" s="18" t="s">
        <v>41</v>
      </c>
      <c r="C14" s="19">
        <v>46272</v>
      </c>
      <c r="D14" s="19">
        <v>46346</v>
      </c>
      <c r="E14" s="13"/>
      <c r="F14" s="12" t="s">
        <v>23</v>
      </c>
      <c r="G14" s="12" t="s">
        <v>23</v>
      </c>
      <c r="H14" s="12" t="s">
        <v>23</v>
      </c>
      <c r="I14" s="12" t="s">
        <v>23</v>
      </c>
      <c r="J14" s="12" t="s">
        <v>23</v>
      </c>
      <c r="K14" s="12" t="s">
        <v>23</v>
      </c>
      <c r="L14" s="12" t="s">
        <v>23</v>
      </c>
      <c r="M14" s="24"/>
      <c r="N14" s="24"/>
      <c r="O14" s="24"/>
      <c r="P14" s="23"/>
      <c r="Q14" s="13"/>
      <c r="R14" s="20">
        <f t="shared" si="0"/>
        <v>0.63636363636363635</v>
      </c>
      <c r="S14" s="21" t="str">
        <f t="shared" si="1"/>
        <v>En proceso</v>
      </c>
      <c r="T14" s="22" t="s">
        <v>42</v>
      </c>
    </row>
    <row r="15" spans="1:20" ht="49.5" customHeight="1" x14ac:dyDescent="0.3">
      <c r="A15" s="9">
        <v>11</v>
      </c>
      <c r="B15" s="10" t="s">
        <v>43</v>
      </c>
      <c r="C15" s="11">
        <v>46349</v>
      </c>
      <c r="D15" s="11">
        <v>46353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3"/>
      <c r="R15" s="14">
        <f t="shared" si="0"/>
        <v>0</v>
      </c>
      <c r="S15" s="15" t="str">
        <f t="shared" si="1"/>
        <v>Pendiente</v>
      </c>
      <c r="T15" s="16" t="s">
        <v>44</v>
      </c>
    </row>
    <row r="16" spans="1:20" ht="21.75" customHeight="1" x14ac:dyDescent="0.3">
      <c r="B16" s="4" t="s">
        <v>45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5">
        <f>AVERAGE(R5:R15)</f>
        <v>0.77646595828414</v>
      </c>
    </row>
    <row r="18" spans="1:20" x14ac:dyDescent="0.3">
      <c r="A18" s="3" t="s">
        <v>46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20" ht="15" customHeight="1" x14ac:dyDescent="0.3">
      <c r="A19" s="26"/>
      <c r="B19" s="2" t="s">
        <v>47</v>
      </c>
      <c r="C19" s="2"/>
      <c r="D19" s="2"/>
      <c r="E19" s="2"/>
      <c r="F19" s="2"/>
      <c r="G19" s="2"/>
      <c r="H19" s="2"/>
    </row>
    <row r="20" spans="1:20" ht="15" customHeight="1" x14ac:dyDescent="0.3">
      <c r="A20" s="27"/>
      <c r="B20" s="2" t="s">
        <v>48</v>
      </c>
      <c r="C20" s="2"/>
      <c r="D20" s="2"/>
      <c r="E20" s="2"/>
      <c r="F20" s="2"/>
      <c r="G20" s="2"/>
      <c r="H20" s="2"/>
    </row>
    <row r="21" spans="1:20" ht="15" customHeight="1" x14ac:dyDescent="0.3">
      <c r="A21" s="28" t="s">
        <v>23</v>
      </c>
      <c r="B21" s="2" t="s">
        <v>49</v>
      </c>
      <c r="C21" s="2"/>
      <c r="D21" s="2"/>
      <c r="E21" s="2"/>
      <c r="F21" s="2"/>
      <c r="G21" s="2"/>
      <c r="H21" s="2"/>
    </row>
    <row r="22" spans="1:20" ht="15" customHeight="1" x14ac:dyDescent="0.3">
      <c r="A22" s="29"/>
      <c r="B22" s="2" t="s">
        <v>50</v>
      </c>
      <c r="C22" s="2"/>
      <c r="D22" s="2"/>
      <c r="E22" s="2"/>
      <c r="F22" s="2"/>
      <c r="G22" s="2"/>
      <c r="H22" s="2"/>
    </row>
    <row r="24" spans="1:20" x14ac:dyDescent="0.3">
      <c r="A24" s="1" t="s">
        <v>51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 t="s">
        <v>52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</sheetData>
  <mergeCells count="10">
    <mergeCell ref="B20:H20"/>
    <mergeCell ref="B21:H21"/>
    <mergeCell ref="B22:H22"/>
    <mergeCell ref="A24:T24"/>
    <mergeCell ref="A25:T25"/>
    <mergeCell ref="A1:T1"/>
    <mergeCell ref="A2:T2"/>
    <mergeCell ref="B16:Q16"/>
    <mergeCell ref="A18:Q18"/>
    <mergeCell ref="B19:H19"/>
  </mergeCells>
  <conditionalFormatting sqref="E5:Q15">
    <cfRule type="cellIs" dxfId="0" priority="2" operator="equal">
      <formula>"✔"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Diagrama de Gantt</vt:lpstr>
      <vt:lpstr>'Diagrama de Gantt'!Área_de_impresión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Froylan  Grimaldo Lara</cp:lastModifiedBy>
  <cp:revision>0</cp:revision>
  <dcterms:created xsi:type="dcterms:W3CDTF">2026-06-05T04:30:01Z</dcterms:created>
  <dcterms:modified xsi:type="dcterms:W3CDTF">2026-10-26T13:39:03Z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0x010100E870927A2B41C147B43810AE18B6F57D</vt:lpwstr>
  </property>
</Properties>
</file>